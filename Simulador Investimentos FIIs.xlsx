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vasconcellos\Downloads\"/>
    </mc:Choice>
  </mc:AlternateContent>
  <xr:revisionPtr revIDLastSave="0" documentId="13_ncr:1_{0D6F301D-A4E9-47FA-B6E9-4FFF408509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inel de Controle" sheetId="1" r:id="rId1"/>
    <sheet name="Carteira" sheetId="2" r:id="rId2"/>
    <sheet name="Rendimentos" sheetId="3" r:id="rId3"/>
    <sheet name="Simulações" sheetId="4" r:id="rId4"/>
    <sheet name="Dashboard" sheetId="5" r:id="rId5"/>
    <sheet name="Instruçõ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" l="1"/>
  <c r="G13" i="5" s="1"/>
  <c r="F12" i="5"/>
  <c r="G12" i="5" s="1"/>
  <c r="F11" i="5"/>
  <c r="D8" i="5"/>
  <c r="F7" i="5"/>
  <c r="B10" i="4"/>
  <c r="B11" i="4" s="1"/>
  <c r="B12" i="4" s="1"/>
  <c r="G15" i="3"/>
  <c r="F16" i="5" s="1"/>
  <c r="G12" i="3"/>
  <c r="G11" i="3"/>
  <c r="G10" i="3"/>
  <c r="G9" i="3"/>
  <c r="F10" i="5" s="1"/>
  <c r="G10" i="5" s="1"/>
  <c r="G8" i="3"/>
  <c r="F9" i="5" s="1"/>
  <c r="G9" i="5" s="1"/>
  <c r="G7" i="3"/>
  <c r="F8" i="5" s="1"/>
  <c r="G8" i="5" s="1"/>
  <c r="G6" i="3"/>
  <c r="G5" i="3"/>
  <c r="F6" i="5" s="1"/>
  <c r="G4" i="3"/>
  <c r="H15" i="2"/>
  <c r="J15" i="2" s="1"/>
  <c r="G15" i="2"/>
  <c r="H14" i="2"/>
  <c r="J14" i="2" s="1"/>
  <c r="G14" i="2"/>
  <c r="H13" i="2"/>
  <c r="J13" i="2" s="1"/>
  <c r="G13" i="2"/>
  <c r="H12" i="2"/>
  <c r="J12" i="2" s="1"/>
  <c r="G12" i="2"/>
  <c r="H11" i="2"/>
  <c r="J11" i="2" s="1"/>
  <c r="G11" i="2"/>
  <c r="H10" i="2"/>
  <c r="J10" i="2" s="1"/>
  <c r="G10" i="2"/>
  <c r="H9" i="2"/>
  <c r="J9" i="2" s="1"/>
  <c r="G9" i="2"/>
  <c r="H8" i="2"/>
  <c r="J8" i="2" s="1"/>
  <c r="G8" i="2"/>
  <c r="H7" i="2"/>
  <c r="J7" i="2" s="1"/>
  <c r="G7" i="2"/>
  <c r="K2" i="2" s="1"/>
  <c r="B6" i="1" s="1"/>
  <c r="H6" i="2"/>
  <c r="J6" i="2" s="1"/>
  <c r="G6" i="2"/>
  <c r="H5" i="2"/>
  <c r="J5" i="2" s="1"/>
  <c r="G5" i="2"/>
  <c r="H4" i="2"/>
  <c r="J4" i="2" s="1"/>
  <c r="G4" i="2"/>
  <c r="B9" i="1"/>
  <c r="G7" i="5" l="1"/>
  <c r="G11" i="5"/>
  <c r="L2" i="2"/>
  <c r="F5" i="5"/>
  <c r="G6" i="5" s="1"/>
  <c r="B8" i="1" l="1"/>
  <c r="B7" i="5" s="1"/>
  <c r="D7" i="5" s="1"/>
  <c r="C18" i="4"/>
  <c r="D18" i="4" s="1"/>
  <c r="C17" i="4"/>
  <c r="D17" i="4" s="1"/>
  <c r="B7" i="1"/>
  <c r="B5" i="5"/>
  <c r="D5" i="5" s="1"/>
  <c r="C19" i="4"/>
  <c r="D19" i="4" s="1"/>
  <c r="D6" i="5"/>
  <c r="B6" i="5"/>
  <c r="G14" i="5"/>
  <c r="F14" i="5"/>
  <c r="B27" i="4"/>
  <c r="B24" i="4"/>
  <c r="B26" i="4"/>
  <c r="B28" i="4"/>
  <c r="B11" i="1"/>
  <c r="B10" i="1"/>
  <c r="G15" i="5"/>
  <c r="G16" i="3"/>
  <c r="G13" i="3"/>
  <c r="G17" i="3"/>
  <c r="G14" i="3"/>
  <c r="F15" i="5"/>
  <c r="G16" i="5"/>
</calcChain>
</file>

<file path=xl/sharedStrings.xml><?xml version="1.0" encoding="utf-8"?>
<sst xmlns="http://schemas.openxmlformats.org/spreadsheetml/2006/main" count="195" uniqueCount="172">
  <si>
    <t>📊 SIMULADOR DE INVESTIMENTOS EM FIIs</t>
  </si>
  <si>
    <t>Atualizado em: 07/01/2026 14:01</t>
  </si>
  <si>
    <t>INDICADORES PRINCIPAIS</t>
  </si>
  <si>
    <t>Métrica</t>
  </si>
  <si>
    <t>Valor</t>
  </si>
  <si>
    <t>DISTRIBUIÇÃO POR SETOR</t>
  </si>
  <si>
    <t>Valor Total Investido</t>
  </si>
  <si>
    <t>Setor</t>
  </si>
  <si>
    <t>Valor Investido</t>
  </si>
  <si>
    <t>%</t>
  </si>
  <si>
    <t>Valor Atual da Carteira</t>
  </si>
  <si>
    <t>Residencial</t>
  </si>
  <si>
    <t>Rentabilidade Total (%)</t>
  </si>
  <si>
    <t>Comercial</t>
  </si>
  <si>
    <t>Dividend Yield Médio</t>
  </si>
  <si>
    <t>Industrial</t>
  </si>
  <si>
    <t>Rendimento Mensal Médio</t>
  </si>
  <si>
    <t>Híbrido</t>
  </si>
  <si>
    <t>Total Rendimentos Recebidos</t>
  </si>
  <si>
    <t>💼 CARTEIRA DE FIIs</t>
  </si>
  <si>
    <t>TOTAIS:</t>
  </si>
  <si>
    <t>Código</t>
  </si>
  <si>
    <t>Nome do FII</t>
  </si>
  <si>
    <t>Cotas</t>
  </si>
  <si>
    <t>Preço Médio</t>
  </si>
  <si>
    <t>Preço Atual</t>
  </si>
  <si>
    <t>Valor Atual</t>
  </si>
  <si>
    <t>Dividend Yield</t>
  </si>
  <si>
    <t>Rend. Mensal</t>
  </si>
  <si>
    <t>TOTAL INVESTIDO</t>
  </si>
  <si>
    <t>TOTAL ATUAL</t>
  </si>
  <si>
    <t>HGLG11</t>
  </si>
  <si>
    <t>CSHG Logística</t>
  </si>
  <si>
    <t>CSHG11</t>
  </si>
  <si>
    <t>CSHG Real Estate</t>
  </si>
  <si>
    <t>BTLG11</t>
  </si>
  <si>
    <t>BTG Logística</t>
  </si>
  <si>
    <t>XPLG11</t>
  </si>
  <si>
    <t>XP Log</t>
  </si>
  <si>
    <t>HGRU11</t>
  </si>
  <si>
    <t>CSHG Renda Urbana</t>
  </si>
  <si>
    <t>KNCR11</t>
  </si>
  <si>
    <t>Kinea Renda Imob.</t>
  </si>
  <si>
    <t>MXRF11</t>
  </si>
  <si>
    <t>Maxi Renda</t>
  </si>
  <si>
    <t>VISC11</t>
  </si>
  <si>
    <t>Vinci Shopping</t>
  </si>
  <si>
    <t>RZTR11</t>
  </si>
  <si>
    <t>Riza Terrax</t>
  </si>
  <si>
    <t>PVBI11</t>
  </si>
  <si>
    <t>VBI Prime</t>
  </si>
  <si>
    <t>RBVA11</t>
  </si>
  <si>
    <t>RBR Alpha</t>
  </si>
  <si>
    <t>XPML11</t>
  </si>
  <si>
    <t>XP Malls</t>
  </si>
  <si>
    <t>💰 HISTÓRICO DE RENDIMENTOS</t>
  </si>
  <si>
    <t>Mês/Ano</t>
  </si>
  <si>
    <t>TOTAL</t>
  </si>
  <si>
    <t>Jan/2025</t>
  </si>
  <si>
    <t>Fev/2025</t>
  </si>
  <si>
    <t>Mar/2025</t>
  </si>
  <si>
    <t>Abr/2025</t>
  </si>
  <si>
    <t>Mai/2025</t>
  </si>
  <si>
    <t>Jun/2025</t>
  </si>
  <si>
    <t>Jul/2025</t>
  </si>
  <si>
    <t>Ago/2025</t>
  </si>
  <si>
    <t>Set/2025</t>
  </si>
  <si>
    <t>Total:</t>
  </si>
  <si>
    <t>Média:</t>
  </si>
  <si>
    <t>Dez/2025</t>
  </si>
  <si>
    <t>TOTAL ACUMULADO:</t>
  </si>
  <si>
    <t>MÉDIA MENSAL:</t>
  </si>
  <si>
    <t>📈 SIMULADOR DE CENÁRIOS</t>
  </si>
  <si>
    <t>SIMULAR NOVO APORTE</t>
  </si>
  <si>
    <t>Valor do Aporte (R$):</t>
  </si>
  <si>
    <t>Código do FII:</t>
  </si>
  <si>
    <t>Preço Atual da Cota:</t>
  </si>
  <si>
    <t>RESULTADO:</t>
  </si>
  <si>
    <t>Quantidade de Cotas:</t>
  </si>
  <si>
    <t>Novo Total de Cotas:</t>
  </si>
  <si>
    <t>Rendimento Mensal Estimado:</t>
  </si>
  <si>
    <t>PROJEÇÃO DE RENTABILIDADE - 12 MESES</t>
  </si>
  <si>
    <t>Cenário</t>
  </si>
  <si>
    <t>Yield Anual</t>
  </si>
  <si>
    <t>Rendimento Mensal</t>
  </si>
  <si>
    <t>Total 12 Meses</t>
  </si>
  <si>
    <t>Conservador</t>
  </si>
  <si>
    <t>Moderado</t>
  </si>
  <si>
    <t>Agressivo</t>
  </si>
  <si>
    <t>SIMULAÇÃO DE REINVESTIMENTO</t>
  </si>
  <si>
    <t>Rendimento Mensal Médio:</t>
  </si>
  <si>
    <t>% para Reinvestir:</t>
  </si>
  <si>
    <t>Valor Reinvestido/Mês:</t>
  </si>
  <si>
    <t>Acumulado em 12 meses:</t>
  </si>
  <si>
    <t>Acumulado em 24 meses:</t>
  </si>
  <si>
    <t>📉 DASHBOARD DE INDICADORES</t>
  </si>
  <si>
    <t>INDICADORES DE PERFORMANCE</t>
  </si>
  <si>
    <t>DISTRIBUIÇÃO MENSAL DE RENDIMENTOS</t>
  </si>
  <si>
    <t>Indicador</t>
  </si>
  <si>
    <t>Meta</t>
  </si>
  <si>
    <t>Status</t>
  </si>
  <si>
    <t>Mês</t>
  </si>
  <si>
    <t>Rendimento</t>
  </si>
  <si>
    <t>Var. %</t>
  </si>
  <si>
    <t>Patrimônio Total</t>
  </si>
  <si>
    <t>Jan</t>
  </si>
  <si>
    <t>-</t>
  </si>
  <si>
    <t>Fev</t>
  </si>
  <si>
    <t>Mar</t>
  </si>
  <si>
    <t>Diversificação (nº FIIs)</t>
  </si>
  <si>
    <t>Abr</t>
  </si>
  <si>
    <t>Mai</t>
  </si>
  <si>
    <t>Jun</t>
  </si>
  <si>
    <t>CONCENTRAÇÃO POR CAPITALIZAÇÃO</t>
  </si>
  <si>
    <t>Jul</t>
  </si>
  <si>
    <t>Faixa de Investimento</t>
  </si>
  <si>
    <t>Quantidade</t>
  </si>
  <si>
    <t>% do Total</t>
  </si>
  <si>
    <t>Ago</t>
  </si>
  <si>
    <t>Até R$ 10.000</t>
  </si>
  <si>
    <t>Set</t>
  </si>
  <si>
    <t>R$ 10.001 - R$ 15.000</t>
  </si>
  <si>
    <t>Out</t>
  </si>
  <si>
    <t>Acima de R$ 15.000</t>
  </si>
  <si>
    <t>Nov</t>
  </si>
  <si>
    <t>Dez</t>
  </si>
  <si>
    <t>📖 GUIA DE USO DO SIMULADOR</t>
  </si>
  <si>
    <t>BEM-VINDO AO SIMULADOR DE INVESTIMENTOS EM FIIs!</t>
  </si>
  <si>
    <t>Esta ferramenta foi desenvolvida para auxiliar você na gestão e análise de seus investimentos</t>
  </si>
  <si>
    <t>em Fundos de Investimento Imobiliário (FIIs).</t>
  </si>
  <si>
    <t>📊 ABAS DISPONÍVEIS:</t>
  </si>
  <si>
    <t>1. PAINEL DE CONTROLE</t>
  </si>
  <si>
    <t xml:space="preserve">   • Visão geral de todos os seus investimentos</t>
  </si>
  <si>
    <t xml:space="preserve">   • Indicadores principais (Valor Investido, Rentabilidade, Dividend Yield)</t>
  </si>
  <si>
    <t xml:space="preserve">   • Distribuição por setor (Residencial, Comercial, Industrial, Híbrido)</t>
  </si>
  <si>
    <t>2. CARTEIRA</t>
  </si>
  <si>
    <t xml:space="preserve">   • Registro detalhado de cada FII investido</t>
  </si>
  <si>
    <t xml:space="preserve">   • Quantidade de cotas, preços médios e atuais</t>
  </si>
  <si>
    <t xml:space="preserve">   • Cálculo automático de valores e rentabilidade</t>
  </si>
  <si>
    <t xml:space="preserve">   • Para adicionar novo FII: insira os dados nas colunas correspondentes</t>
  </si>
  <si>
    <t>3. RENDIMENTOS</t>
  </si>
  <si>
    <t xml:space="preserve">   • Histórico mensal de dividendos recebidos</t>
  </si>
  <si>
    <t xml:space="preserve">   • Total acumulado e média mensal</t>
  </si>
  <si>
    <t xml:space="preserve">   • Acompanhamento da evolução dos proventos</t>
  </si>
  <si>
    <t>4. SIMULAÇÕES</t>
  </si>
  <si>
    <t xml:space="preserve">   • Simular novos aportes (valor, FII e quantidade de cotas)</t>
  </si>
  <si>
    <t xml:space="preserve">   • Projeções de rentabilidade (cenários conservador, moderado e agressivo)</t>
  </si>
  <si>
    <t xml:space="preserve">   • Calculadora de reinvestimento de dividendos</t>
  </si>
  <si>
    <t xml:space="preserve">   • PERSONALIZE os valores nas células AMARELAS</t>
  </si>
  <si>
    <t>5. DASHBOARD</t>
  </si>
  <si>
    <t xml:space="preserve">   • Indicadores visuais de performance</t>
  </si>
  <si>
    <t xml:space="preserve">   • Análise de concentração da carteira</t>
  </si>
  <si>
    <t xml:space="preserve">   • Distribuição mensal de rendimentos</t>
  </si>
  <si>
    <t xml:space="preserve">   • Status de metas estabelecidas</t>
  </si>
  <si>
    <t>💡 DICAS DE USO:</t>
  </si>
  <si>
    <t>✓ Atualize regularmente os PREÇOS ATUAIS na aba Carteira</t>
  </si>
  <si>
    <t>✓ Registre TODOS os dividendos recebidos na aba Rendimentos</t>
  </si>
  <si>
    <t>✓ Use a aba Simulações para PLANEJAR novos investimentos</t>
  </si>
  <si>
    <t>✓ Células com FUNDO AMARELO são editáveis para simulações</t>
  </si>
  <si>
    <t>✓ Não altere as fórmulas para manter a integridade dos cálculos</t>
  </si>
  <si>
    <t>📈 MÉTRICAS IMPORTANTES:</t>
  </si>
  <si>
    <t>• Dividend Yield: Percentual de rendimento sobre o valor investido</t>
  </si>
  <si>
    <t>• Valor Atual: Cotação x Quantidade de cotas</t>
  </si>
  <si>
    <t>• Rentabilidade: (Valor Atual - Valor Investido) / Valor Investido</t>
  </si>
  <si>
    <t>⚠ OBSERVAÇÕES:</t>
  </si>
  <si>
    <t>• Este simulador é uma ferramenta de apoio à decisão</t>
  </si>
  <si>
    <t>• Não constitui recomendação de investimento</t>
  </si>
  <si>
    <t>• Consulte sempre um profissional certificado antes de investir</t>
  </si>
  <si>
    <t>• Mantenha backup regular dos seus dados</t>
  </si>
  <si>
    <t>Desenvolvido por: Marcus Vasconcellos | GitHub: @celloweb-ai</t>
  </si>
  <si>
    <t>Projeto: Desafio DIO/Santander - Bootcamp IA e Dados</t>
  </si>
  <si>
    <t>Versão: 1.0 | Data: 07/01/2026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</si>
</sst>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9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1F4E78"/>
      <name val="Calibri"/>
    </font>
    <font>
      <b/>
      <sz val="11"/>
      <name val="Calibri"/>
    </font>
    <font>
      <b/>
      <sz val="12"/>
      <name val="Calibri"/>
    </font>
    <font>
      <sz val="8"/>
      <color rgb="FFCCCCCC"/>
      <name val="Calibri"/>
    </font>
    <font>
      <b/>
      <sz val="11"/>
      <color rgb="FF007F00"/>
      <name val="Calibri"/>
    </font>
    <font>
      <b/>
      <sz val="12"/>
      <color rgb="FF366092"/>
      <name val="Calibri"/>
    </font>
    <font>
      <b/>
      <sz val="11"/>
      <color rgb="FF1F4E78"/>
      <name val="Calibri"/>
    </font>
    <font>
      <b/>
      <sz val="10"/>
      <color rgb="FF4472C4"/>
      <name val="Calibri"/>
    </font>
    <font>
      <sz val="9"/>
      <name val="Calibri"/>
    </font>
    <font>
      <i/>
      <sz val="8"/>
      <color rgb="FF7F7F7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0" xfId="0" applyFont="1" applyFill="1"/>
    <xf numFmtId="0" fontId="5" fillId="0" borderId="0" xfId="0" applyFont="1"/>
    <xf numFmtId="164" fontId="0" fillId="0" borderId="0" xfId="0" applyNumberFormat="1"/>
    <xf numFmtId="10" fontId="0" fillId="0" borderId="0" xfId="0" applyNumberFormat="1"/>
    <xf numFmtId="0" fontId="7" fillId="0" borderId="0" xfId="0" applyFont="1"/>
    <xf numFmtId="164" fontId="8" fillId="0" borderId="0" xfId="0" applyNumberFormat="1" applyFont="1"/>
    <xf numFmtId="0" fontId="4" fillId="3" borderId="0" xfId="0" applyFont="1" applyFill="1" applyAlignment="1">
      <alignment horizontal="center" vertical="center" wrapText="1"/>
    </xf>
    <xf numFmtId="1" fontId="0" fillId="0" borderId="0" xfId="0" applyNumberFormat="1"/>
    <xf numFmtId="0" fontId="4" fillId="3" borderId="0" xfId="0" applyFont="1" applyFill="1" applyAlignment="1">
      <alignment horizontal="center"/>
    </xf>
    <xf numFmtId="0" fontId="9" fillId="0" borderId="0" xfId="0" applyFont="1"/>
    <xf numFmtId="164" fontId="9" fillId="0" borderId="0" xfId="0" applyNumberFormat="1" applyFont="1"/>
    <xf numFmtId="164" fontId="7" fillId="4" borderId="0" xfId="0" applyNumberFormat="1" applyFont="1" applyFill="1"/>
    <xf numFmtId="164" fontId="7" fillId="5" borderId="0" xfId="0" applyNumberFormat="1" applyFont="1" applyFill="1"/>
    <xf numFmtId="164" fontId="0" fillId="5" borderId="0" xfId="0" applyNumberFormat="1" applyFill="1"/>
    <xf numFmtId="0" fontId="0" fillId="5" borderId="0" xfId="0" applyFill="1"/>
    <xf numFmtId="1" fontId="5" fillId="0" borderId="0" xfId="0" applyNumberFormat="1" applyFont="1"/>
    <xf numFmtId="164" fontId="5" fillId="0" borderId="0" xfId="0" applyNumberFormat="1" applyFont="1"/>
    <xf numFmtId="10" fontId="5" fillId="0" borderId="0" xfId="0" applyNumberFormat="1" applyFont="1"/>
    <xf numFmtId="9" fontId="0" fillId="5" borderId="0" xfId="0" applyNumberFormat="1" applyFill="1"/>
    <xf numFmtId="164" fontId="10" fillId="0" borderId="0" xfId="0" applyNumberFormat="1" applyFont="1"/>
    <xf numFmtId="0" fontId="11" fillId="0" borderId="0" xfId="0" applyFont="1"/>
    <xf numFmtId="0" fontId="12" fillId="6" borderId="0" xfId="0" applyFont="1" applyFill="1"/>
    <xf numFmtId="0" fontId="13" fillId="0" borderId="0" xfId="0" applyFont="1"/>
    <xf numFmtId="0" fontId="14" fillId="0" borderId="0" xfId="0" applyFont="1" applyAlignment="1">
      <alignment wrapText="1"/>
    </xf>
    <xf numFmtId="0" fontId="15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3" fillId="2" borderId="0" xfId="0" applyFont="1" applyFill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"/>
    </sheetView>
  </sheetViews>
  <sheetFormatPr defaultRowHeight="14.4" x14ac:dyDescent="0.3"/>
  <cols>
    <col min="1" max="1" width="28" customWidth="1"/>
    <col min="2" max="2" width="20" customWidth="1"/>
    <col min="3" max="3" width="5" customWidth="1"/>
    <col min="4" max="5" width="18" customWidth="1"/>
    <col min="6" max="6" width="12" customWidth="1"/>
  </cols>
  <sheetData>
    <row r="1" spans="1:6" ht="21" x14ac:dyDescent="0.4">
      <c r="A1" s="28" t="s">
        <v>0</v>
      </c>
      <c r="B1" s="27"/>
      <c r="C1" s="27"/>
      <c r="D1" s="27"/>
      <c r="E1" s="27"/>
      <c r="F1" s="27"/>
    </row>
    <row r="2" spans="1:6" x14ac:dyDescent="0.3">
      <c r="A2" s="26" t="s">
        <v>1</v>
      </c>
      <c r="B2" s="27"/>
      <c r="C2" s="27"/>
      <c r="D2" s="27"/>
      <c r="E2" s="27"/>
      <c r="F2" s="27"/>
    </row>
    <row r="4" spans="1:6" ht="18" x14ac:dyDescent="0.35">
      <c r="A4" s="29" t="s">
        <v>2</v>
      </c>
      <c r="B4" s="27"/>
      <c r="C4" s="27"/>
      <c r="D4" s="27"/>
      <c r="E4" s="27"/>
      <c r="F4" s="27"/>
    </row>
    <row r="5" spans="1:6" ht="18" x14ac:dyDescent="0.35">
      <c r="A5" s="1" t="s">
        <v>3</v>
      </c>
      <c r="B5" s="1" t="s">
        <v>4</v>
      </c>
      <c r="D5" s="29" t="s">
        <v>5</v>
      </c>
      <c r="E5" s="27"/>
      <c r="F5" s="27"/>
    </row>
    <row r="6" spans="1:6" x14ac:dyDescent="0.3">
      <c r="A6" s="2" t="s">
        <v>6</v>
      </c>
      <c r="B6" s="3">
        <f>Carteira!K2</f>
        <v>134491.5</v>
      </c>
      <c r="D6" s="1" t="s">
        <v>7</v>
      </c>
      <c r="E6" s="1" t="s">
        <v>8</v>
      </c>
      <c r="F6" s="1" t="s">
        <v>9</v>
      </c>
    </row>
    <row r="7" spans="1:6" x14ac:dyDescent="0.3">
      <c r="A7" s="2" t="s">
        <v>10</v>
      </c>
      <c r="B7" s="4">
        <f>Carteira!L2</f>
        <v>139828</v>
      </c>
      <c r="D7" t="s">
        <v>11</v>
      </c>
      <c r="E7" s="3">
        <v>42000</v>
      </c>
      <c r="F7" s="4">
        <v>0.28000000000000003</v>
      </c>
    </row>
    <row r="8" spans="1:6" x14ac:dyDescent="0.3">
      <c r="A8" s="2" t="s">
        <v>12</v>
      </c>
      <c r="B8" s="4">
        <f>(Carteira!L2-Carteira!K2)/Carteira!K2</f>
        <v>3.9679087525977479E-2</v>
      </c>
      <c r="D8" t="s">
        <v>13</v>
      </c>
      <c r="E8" s="3">
        <v>48000</v>
      </c>
      <c r="F8" s="4">
        <v>0.32</v>
      </c>
    </row>
    <row r="9" spans="1:6" x14ac:dyDescent="0.3">
      <c r="A9" s="2" t="s">
        <v>14</v>
      </c>
      <c r="B9" s="3" t="e">
        <f ca="1">MÉDIA(Carteira!I5:I16)</f>
        <v>#NAME?</v>
      </c>
      <c r="D9" t="s">
        <v>15</v>
      </c>
      <c r="E9" s="3">
        <v>37500</v>
      </c>
      <c r="F9" s="4">
        <v>0.25</v>
      </c>
    </row>
    <row r="10" spans="1:6" x14ac:dyDescent="0.3">
      <c r="A10" s="2" t="s">
        <v>16</v>
      </c>
      <c r="B10" s="3" t="str">
        <f ca="1">Rendimentos!G14</f>
        <v/>
      </c>
      <c r="D10" t="s">
        <v>17</v>
      </c>
      <c r="E10" s="3">
        <v>22500</v>
      </c>
      <c r="F10" s="4">
        <v>0.15</v>
      </c>
    </row>
    <row r="11" spans="1:6" x14ac:dyDescent="0.3">
      <c r="A11" s="2" t="s">
        <v>18</v>
      </c>
      <c r="B11" s="3" t="str">
        <f ca="1">Rendimentos!G13</f>
        <v/>
      </c>
    </row>
  </sheetData>
  <mergeCells count="4">
    <mergeCell ref="A2:F2"/>
    <mergeCell ref="A1:F1"/>
    <mergeCell ref="A4:F4"/>
    <mergeCell ref="D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/>
  </sheetViews>
  <sheetFormatPr defaultRowHeight="14.4" x14ac:dyDescent="0.3"/>
  <cols>
    <col min="1" max="1" width="12" customWidth="1"/>
    <col min="2" max="2" width="20" customWidth="1"/>
    <col min="3" max="3" width="15" customWidth="1"/>
    <col min="4" max="4" width="10" customWidth="1"/>
    <col min="5" max="6" width="13" customWidth="1"/>
    <col min="7" max="8" width="15" customWidth="1"/>
    <col min="9" max="9" width="13" customWidth="1"/>
    <col min="10" max="10" width="15" customWidth="1"/>
    <col min="11" max="12" width="18" customWidth="1"/>
  </cols>
  <sheetData>
    <row r="1" spans="1:12" ht="18" x14ac:dyDescent="0.35">
      <c r="A1" s="30" t="s">
        <v>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5.6" x14ac:dyDescent="0.3">
      <c r="A2" s="5" t="s">
        <v>20</v>
      </c>
      <c r="K2" s="6">
        <f>SUM(G4:G15)</f>
        <v>134491.5</v>
      </c>
      <c r="L2" s="6">
        <f>SUM(H4:H15)</f>
        <v>139828</v>
      </c>
    </row>
    <row r="3" spans="1:12" x14ac:dyDescent="0.3">
      <c r="A3" s="7" t="s">
        <v>21</v>
      </c>
      <c r="B3" s="7" t="s">
        <v>22</v>
      </c>
      <c r="C3" s="7" t="s">
        <v>7</v>
      </c>
      <c r="D3" s="7" t="s">
        <v>23</v>
      </c>
      <c r="E3" s="7" t="s">
        <v>24</v>
      </c>
      <c r="F3" s="7" t="s">
        <v>25</v>
      </c>
      <c r="G3" s="7" t="s">
        <v>8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</row>
    <row r="4" spans="1:12" x14ac:dyDescent="0.3">
      <c r="A4" t="s">
        <v>31</v>
      </c>
      <c r="B4" t="s">
        <v>32</v>
      </c>
      <c r="C4" t="s">
        <v>15</v>
      </c>
      <c r="D4" s="8">
        <v>120</v>
      </c>
      <c r="E4" s="3">
        <v>158.5</v>
      </c>
      <c r="F4" s="3">
        <v>165.2</v>
      </c>
      <c r="G4" s="3">
        <f t="shared" ref="G4:G15" si="0">D4*E4</f>
        <v>19020</v>
      </c>
      <c r="H4" s="3">
        <f t="shared" ref="H4:H15" si="1">D4*F4</f>
        <v>19824</v>
      </c>
      <c r="I4" s="4">
        <v>0.1125</v>
      </c>
      <c r="J4" s="3">
        <f t="shared" ref="J4:J15" si="2">H4*I4</f>
        <v>2230.2000000000003</v>
      </c>
    </row>
    <row r="5" spans="1:12" x14ac:dyDescent="0.3">
      <c r="A5" t="s">
        <v>33</v>
      </c>
      <c r="B5" t="s">
        <v>34</v>
      </c>
      <c r="C5" t="s">
        <v>13</v>
      </c>
      <c r="D5" s="8">
        <v>95</v>
      </c>
      <c r="E5" s="3">
        <v>105.3</v>
      </c>
      <c r="F5" s="3">
        <v>112.8</v>
      </c>
      <c r="G5" s="3">
        <f t="shared" si="0"/>
        <v>10003.5</v>
      </c>
      <c r="H5" s="3">
        <f t="shared" si="1"/>
        <v>10716</v>
      </c>
      <c r="I5" s="4">
        <v>9.8500000000000004E-2</v>
      </c>
      <c r="J5" s="3">
        <f t="shared" si="2"/>
        <v>1055.5260000000001</v>
      </c>
    </row>
    <row r="6" spans="1:12" x14ac:dyDescent="0.3">
      <c r="A6" t="s">
        <v>35</v>
      </c>
      <c r="B6" t="s">
        <v>36</v>
      </c>
      <c r="C6" t="s">
        <v>15</v>
      </c>
      <c r="D6" s="8">
        <v>110</v>
      </c>
      <c r="E6" s="3">
        <v>98.2</v>
      </c>
      <c r="F6" s="3">
        <v>102.5</v>
      </c>
      <c r="G6" s="3">
        <f t="shared" si="0"/>
        <v>10802</v>
      </c>
      <c r="H6" s="3">
        <f t="shared" si="1"/>
        <v>11275</v>
      </c>
      <c r="I6" s="4">
        <v>0.105</v>
      </c>
      <c r="J6" s="3">
        <f t="shared" si="2"/>
        <v>1183.875</v>
      </c>
    </row>
    <row r="7" spans="1:12" x14ac:dyDescent="0.3">
      <c r="A7" t="s">
        <v>37</v>
      </c>
      <c r="B7" t="s">
        <v>38</v>
      </c>
      <c r="C7" t="s">
        <v>15</v>
      </c>
      <c r="D7" s="8">
        <v>85</v>
      </c>
      <c r="E7" s="3">
        <v>105.8</v>
      </c>
      <c r="F7" s="3">
        <v>108.9</v>
      </c>
      <c r="G7" s="3">
        <f t="shared" si="0"/>
        <v>8993</v>
      </c>
      <c r="H7" s="3">
        <f t="shared" si="1"/>
        <v>9256.5</v>
      </c>
      <c r="I7" s="4">
        <v>9.1999999999999998E-2</v>
      </c>
      <c r="J7" s="3">
        <f t="shared" si="2"/>
        <v>851.59799999999996</v>
      </c>
    </row>
    <row r="8" spans="1:12" x14ac:dyDescent="0.3">
      <c r="A8" t="s">
        <v>39</v>
      </c>
      <c r="B8" t="s">
        <v>40</v>
      </c>
      <c r="C8" t="s">
        <v>13</v>
      </c>
      <c r="D8" s="8">
        <v>130</v>
      </c>
      <c r="E8" s="3">
        <v>115.4</v>
      </c>
      <c r="F8" s="3">
        <v>118.5</v>
      </c>
      <c r="G8" s="3">
        <f t="shared" si="0"/>
        <v>15002</v>
      </c>
      <c r="H8" s="3">
        <f t="shared" si="1"/>
        <v>15405</v>
      </c>
      <c r="I8" s="4">
        <v>0.1075</v>
      </c>
      <c r="J8" s="3">
        <f t="shared" si="2"/>
        <v>1656.0374999999999</v>
      </c>
    </row>
    <row r="9" spans="1:12" x14ac:dyDescent="0.3">
      <c r="A9" t="s">
        <v>41</v>
      </c>
      <c r="B9" t="s">
        <v>42</v>
      </c>
      <c r="C9" t="s">
        <v>17</v>
      </c>
      <c r="D9" s="8">
        <v>75</v>
      </c>
      <c r="E9" s="3">
        <v>95.6</v>
      </c>
      <c r="F9" s="3">
        <v>99.2</v>
      </c>
      <c r="G9" s="3">
        <f t="shared" si="0"/>
        <v>7170</v>
      </c>
      <c r="H9" s="3">
        <f t="shared" si="1"/>
        <v>7440</v>
      </c>
      <c r="I9" s="4">
        <v>8.7999999999999995E-2</v>
      </c>
      <c r="J9" s="3">
        <f t="shared" si="2"/>
        <v>654.71999999999991</v>
      </c>
    </row>
    <row r="10" spans="1:12" x14ac:dyDescent="0.3">
      <c r="A10" t="s">
        <v>43</v>
      </c>
      <c r="B10" t="s">
        <v>44</v>
      </c>
      <c r="C10" t="s">
        <v>13</v>
      </c>
      <c r="D10" s="8">
        <v>100</v>
      </c>
      <c r="E10" s="3">
        <v>105.9</v>
      </c>
      <c r="F10" s="3">
        <v>110.3</v>
      </c>
      <c r="G10" s="3">
        <f t="shared" si="0"/>
        <v>10590</v>
      </c>
      <c r="H10" s="3">
        <f t="shared" si="1"/>
        <v>11030</v>
      </c>
      <c r="I10" s="4">
        <v>0.1125</v>
      </c>
      <c r="J10" s="3">
        <f t="shared" si="2"/>
        <v>1240.875</v>
      </c>
    </row>
    <row r="11" spans="1:12" x14ac:dyDescent="0.3">
      <c r="A11" t="s">
        <v>45</v>
      </c>
      <c r="B11" t="s">
        <v>46</v>
      </c>
      <c r="C11" t="s">
        <v>13</v>
      </c>
      <c r="D11" s="8">
        <v>90</v>
      </c>
      <c r="E11" s="3">
        <v>98.7</v>
      </c>
      <c r="F11" s="3">
        <v>101.2</v>
      </c>
      <c r="G11" s="3">
        <f t="shared" si="0"/>
        <v>8883</v>
      </c>
      <c r="H11" s="3">
        <f t="shared" si="1"/>
        <v>9108</v>
      </c>
      <c r="I11" s="4">
        <v>9.5000000000000001E-2</v>
      </c>
      <c r="J11" s="3">
        <f t="shared" si="2"/>
        <v>865.26</v>
      </c>
    </row>
    <row r="12" spans="1:12" x14ac:dyDescent="0.3">
      <c r="A12" t="s">
        <v>47</v>
      </c>
      <c r="B12" t="s">
        <v>48</v>
      </c>
      <c r="C12" t="s">
        <v>11</v>
      </c>
      <c r="D12" s="8">
        <v>140</v>
      </c>
      <c r="E12" s="3">
        <v>89.5</v>
      </c>
      <c r="F12" s="3">
        <v>92.8</v>
      </c>
      <c r="G12" s="3">
        <f t="shared" si="0"/>
        <v>12530</v>
      </c>
      <c r="H12" s="3">
        <f t="shared" si="1"/>
        <v>12992</v>
      </c>
      <c r="I12" s="4">
        <v>0.1187</v>
      </c>
      <c r="J12" s="3">
        <f t="shared" si="2"/>
        <v>1542.1504</v>
      </c>
    </row>
    <row r="13" spans="1:12" x14ac:dyDescent="0.3">
      <c r="A13" t="s">
        <v>49</v>
      </c>
      <c r="B13" t="s">
        <v>50</v>
      </c>
      <c r="C13" t="s">
        <v>11</v>
      </c>
      <c r="D13" s="8">
        <v>105</v>
      </c>
      <c r="E13" s="3">
        <v>98.3</v>
      </c>
      <c r="F13" s="3">
        <v>102.4</v>
      </c>
      <c r="G13" s="3">
        <f t="shared" si="0"/>
        <v>10321.5</v>
      </c>
      <c r="H13" s="3">
        <f t="shared" si="1"/>
        <v>10752</v>
      </c>
      <c r="I13" s="4">
        <v>0.105</v>
      </c>
      <c r="J13" s="3">
        <f t="shared" si="2"/>
        <v>1128.96</v>
      </c>
    </row>
    <row r="14" spans="1:12" x14ac:dyDescent="0.3">
      <c r="A14" t="s">
        <v>51</v>
      </c>
      <c r="B14" t="s">
        <v>52</v>
      </c>
      <c r="C14" t="s">
        <v>17</v>
      </c>
      <c r="D14" s="8">
        <v>125</v>
      </c>
      <c r="E14" s="3">
        <v>88.9</v>
      </c>
      <c r="F14" s="3">
        <v>91.5</v>
      </c>
      <c r="G14" s="3">
        <f t="shared" si="0"/>
        <v>11112.5</v>
      </c>
      <c r="H14" s="3">
        <f t="shared" si="1"/>
        <v>11437.5</v>
      </c>
      <c r="I14" s="4">
        <v>9.7500000000000003E-2</v>
      </c>
      <c r="J14" s="3">
        <f t="shared" si="2"/>
        <v>1115.15625</v>
      </c>
    </row>
    <row r="15" spans="1:12" x14ac:dyDescent="0.3">
      <c r="A15" t="s">
        <v>53</v>
      </c>
      <c r="B15" t="s">
        <v>54</v>
      </c>
      <c r="C15" t="s">
        <v>13</v>
      </c>
      <c r="D15" s="8">
        <v>80</v>
      </c>
      <c r="E15" s="3">
        <v>125.8</v>
      </c>
      <c r="F15" s="3">
        <v>132.4</v>
      </c>
      <c r="G15" s="3">
        <f t="shared" si="0"/>
        <v>10064</v>
      </c>
      <c r="H15" s="3">
        <f t="shared" si="1"/>
        <v>10592</v>
      </c>
      <c r="I15" s="4">
        <v>0.10199999999999999</v>
      </c>
      <c r="J15" s="3">
        <f t="shared" si="2"/>
        <v>1080.384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defaultRowHeight="14.4" x14ac:dyDescent="0.3"/>
  <cols>
    <col min="1" max="7" width="14" customWidth="1"/>
  </cols>
  <sheetData>
    <row r="1" spans="1:7" ht="18" x14ac:dyDescent="0.35">
      <c r="A1" s="30" t="s">
        <v>55</v>
      </c>
      <c r="B1" s="27"/>
      <c r="C1" s="27"/>
      <c r="D1" s="27"/>
      <c r="E1" s="27"/>
      <c r="F1" s="27"/>
      <c r="G1" s="27"/>
    </row>
    <row r="3" spans="1:7" x14ac:dyDescent="0.3">
      <c r="A3" s="9" t="s">
        <v>56</v>
      </c>
      <c r="B3" s="9" t="s">
        <v>31</v>
      </c>
      <c r="C3" s="9" t="s">
        <v>33</v>
      </c>
      <c r="D3" s="9" t="s">
        <v>35</v>
      </c>
      <c r="E3" s="9" t="s">
        <v>37</v>
      </c>
      <c r="F3" s="9" t="s">
        <v>39</v>
      </c>
      <c r="G3" s="9" t="s">
        <v>57</v>
      </c>
    </row>
    <row r="4" spans="1:7" x14ac:dyDescent="0.3">
      <c r="A4" t="s">
        <v>58</v>
      </c>
      <c r="B4" s="3">
        <v>185.5</v>
      </c>
      <c r="C4" s="3">
        <v>165.3</v>
      </c>
      <c r="D4" s="3">
        <v>142.80000000000001</v>
      </c>
      <c r="E4" s="3">
        <v>128.9</v>
      </c>
      <c r="F4" s="3">
        <v>195.4</v>
      </c>
      <c r="G4" s="3">
        <f t="shared" ref="G4:G12" si="0">SUM(B4:F4)</f>
        <v>817.9</v>
      </c>
    </row>
    <row r="5" spans="1:7" x14ac:dyDescent="0.3">
      <c r="A5" t="s">
        <v>59</v>
      </c>
      <c r="B5" s="3">
        <v>187.2</v>
      </c>
      <c r="C5" s="3">
        <v>168.5</v>
      </c>
      <c r="D5" s="3">
        <v>145.19999999999999</v>
      </c>
      <c r="E5" s="3">
        <v>131.19999999999999</v>
      </c>
      <c r="F5" s="3">
        <v>198.3</v>
      </c>
      <c r="G5" s="3">
        <f t="shared" si="0"/>
        <v>830.39999999999986</v>
      </c>
    </row>
    <row r="6" spans="1:7" x14ac:dyDescent="0.3">
      <c r="A6" t="s">
        <v>60</v>
      </c>
      <c r="B6" s="3">
        <v>189.8</v>
      </c>
      <c r="C6" s="3">
        <v>171.4</v>
      </c>
      <c r="D6" s="3">
        <v>148.1</v>
      </c>
      <c r="E6" s="3">
        <v>133.80000000000001</v>
      </c>
      <c r="F6" s="3">
        <v>201.5</v>
      </c>
      <c r="G6" s="3">
        <f t="shared" si="0"/>
        <v>844.60000000000014</v>
      </c>
    </row>
    <row r="7" spans="1:7" x14ac:dyDescent="0.3">
      <c r="A7" t="s">
        <v>61</v>
      </c>
      <c r="B7" s="3">
        <v>192.5</v>
      </c>
      <c r="C7" s="3">
        <v>174.2</v>
      </c>
      <c r="D7" s="3">
        <v>150.9</v>
      </c>
      <c r="E7" s="3">
        <v>136.4</v>
      </c>
      <c r="F7" s="3">
        <v>204.7</v>
      </c>
      <c r="G7" s="3">
        <f t="shared" si="0"/>
        <v>858.7</v>
      </c>
    </row>
    <row r="8" spans="1:7" x14ac:dyDescent="0.3">
      <c r="A8" t="s">
        <v>62</v>
      </c>
      <c r="B8" s="3">
        <v>195.3</v>
      </c>
      <c r="C8" s="3">
        <v>177.1</v>
      </c>
      <c r="D8" s="3">
        <v>153.80000000000001</v>
      </c>
      <c r="E8" s="3">
        <v>139.19999999999999</v>
      </c>
      <c r="F8" s="3">
        <v>208</v>
      </c>
      <c r="G8" s="3">
        <f t="shared" si="0"/>
        <v>873.40000000000009</v>
      </c>
    </row>
    <row r="9" spans="1:7" x14ac:dyDescent="0.3">
      <c r="A9" t="s">
        <v>63</v>
      </c>
      <c r="B9" s="3">
        <v>198.2</v>
      </c>
      <c r="C9" s="3">
        <v>180.2</v>
      </c>
      <c r="D9" s="3">
        <v>156.69999999999999</v>
      </c>
      <c r="E9" s="3">
        <v>142.1</v>
      </c>
      <c r="F9" s="3">
        <v>211.4</v>
      </c>
      <c r="G9" s="3">
        <f t="shared" si="0"/>
        <v>888.59999999999991</v>
      </c>
    </row>
    <row r="10" spans="1:7" x14ac:dyDescent="0.3">
      <c r="A10" t="s">
        <v>64</v>
      </c>
      <c r="B10" s="3">
        <v>201.1</v>
      </c>
      <c r="C10" s="3">
        <v>183.3</v>
      </c>
      <c r="D10" s="3">
        <v>159.80000000000001</v>
      </c>
      <c r="E10" s="3">
        <v>145</v>
      </c>
      <c r="F10" s="3">
        <v>214.9</v>
      </c>
      <c r="G10" s="3">
        <f t="shared" si="0"/>
        <v>904.1</v>
      </c>
    </row>
    <row r="11" spans="1:7" x14ac:dyDescent="0.3">
      <c r="A11" t="s">
        <v>65</v>
      </c>
      <c r="B11" s="3">
        <v>204.2</v>
      </c>
      <c r="C11" s="3">
        <v>186.5</v>
      </c>
      <c r="D11" s="3">
        <v>162.9</v>
      </c>
      <c r="E11" s="3">
        <v>148.1</v>
      </c>
      <c r="F11" s="3">
        <v>218.5</v>
      </c>
      <c r="G11" s="3">
        <f t="shared" si="0"/>
        <v>920.2</v>
      </c>
    </row>
    <row r="12" spans="1:7" x14ac:dyDescent="0.3">
      <c r="A12" t="s">
        <v>66</v>
      </c>
      <c r="B12" s="3">
        <v>207.4</v>
      </c>
      <c r="C12" s="3">
        <v>189.8</v>
      </c>
      <c r="D12" s="3">
        <v>166.2</v>
      </c>
      <c r="E12" s="3">
        <v>151.30000000000001</v>
      </c>
      <c r="F12" s="3">
        <v>222.2</v>
      </c>
      <c r="G12" s="3">
        <f t="shared" si="0"/>
        <v>936.90000000000009</v>
      </c>
    </row>
    <row r="13" spans="1:7" x14ac:dyDescent="0.3">
      <c r="A13" s="10" t="s">
        <v>67</v>
      </c>
      <c r="B13" s="3">
        <v>210.7</v>
      </c>
      <c r="C13" s="3">
        <v>193.2</v>
      </c>
      <c r="D13" s="3">
        <v>169.5</v>
      </c>
      <c r="E13" s="3">
        <v>154.6</v>
      </c>
      <c r="F13" s="3">
        <v>226</v>
      </c>
      <c r="G13" s="11" t="str">
        <f ca="1">G16</f>
        <v/>
      </c>
    </row>
    <row r="14" spans="1:7" x14ac:dyDescent="0.3">
      <c r="A14" s="10" t="s">
        <v>68</v>
      </c>
      <c r="B14" s="3">
        <v>214.1</v>
      </c>
      <c r="C14" s="3">
        <v>196.7</v>
      </c>
      <c r="D14" s="3">
        <v>172.9</v>
      </c>
      <c r="E14" s="3">
        <v>158</v>
      </c>
      <c r="F14" s="3">
        <v>229.9</v>
      </c>
      <c r="G14" s="11" t="str">
        <f ca="1">G17</f>
        <v/>
      </c>
    </row>
    <row r="15" spans="1:7" x14ac:dyDescent="0.3">
      <c r="A15" t="s">
        <v>69</v>
      </c>
      <c r="B15" s="3">
        <v>217.6</v>
      </c>
      <c r="C15" s="3">
        <v>200.3</v>
      </c>
      <c r="D15" s="3">
        <v>176.5</v>
      </c>
      <c r="E15" s="3">
        <v>161.5</v>
      </c>
      <c r="F15" s="3">
        <v>233.9</v>
      </c>
      <c r="G15" s="3">
        <f>SUM(B15:F15)</f>
        <v>989.8</v>
      </c>
    </row>
    <row r="16" spans="1:7" x14ac:dyDescent="0.3">
      <c r="A16" s="2" t="s">
        <v>70</v>
      </c>
      <c r="G16" s="12" t="str">
        <f ca="1">SUM(G4:G15)</f>
        <v/>
      </c>
    </row>
    <row r="17" spans="1:7" x14ac:dyDescent="0.3">
      <c r="A17" s="2" t="s">
        <v>71</v>
      </c>
      <c r="G17" s="13" t="str">
        <f ca="1">AVERAGE(G4:G15)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workbookViewId="0"/>
  </sheetViews>
  <sheetFormatPr defaultRowHeight="14.4" x14ac:dyDescent="0.3"/>
  <cols>
    <col min="1" max="1" width="28" customWidth="1"/>
    <col min="2" max="2" width="18" customWidth="1"/>
    <col min="3" max="3" width="20" customWidth="1"/>
    <col min="4" max="4" width="18" customWidth="1"/>
  </cols>
  <sheetData>
    <row r="1" spans="1:6" ht="18" x14ac:dyDescent="0.35">
      <c r="A1" s="30" t="s">
        <v>72</v>
      </c>
      <c r="B1" s="27"/>
      <c r="C1" s="27"/>
      <c r="D1" s="27"/>
      <c r="E1" s="27"/>
      <c r="F1" s="27"/>
    </row>
    <row r="3" spans="1:6" ht="18" x14ac:dyDescent="0.35">
      <c r="A3" s="29" t="s">
        <v>73</v>
      </c>
      <c r="B3" s="27"/>
      <c r="C3" s="27"/>
    </row>
    <row r="5" spans="1:6" x14ac:dyDescent="0.3">
      <c r="A5" t="s">
        <v>74</v>
      </c>
      <c r="B5" s="14">
        <v>5000</v>
      </c>
    </row>
    <row r="6" spans="1:6" x14ac:dyDescent="0.3">
      <c r="A6" t="s">
        <v>75</v>
      </c>
      <c r="B6" s="15" t="s">
        <v>31</v>
      </c>
    </row>
    <row r="7" spans="1:6" x14ac:dyDescent="0.3">
      <c r="A7" t="s">
        <v>76</v>
      </c>
      <c r="B7" s="14">
        <v>165.2</v>
      </c>
    </row>
    <row r="9" spans="1:6" x14ac:dyDescent="0.3">
      <c r="A9" s="2" t="s">
        <v>77</v>
      </c>
    </row>
    <row r="10" spans="1:6" x14ac:dyDescent="0.3">
      <c r="A10" t="s">
        <v>78</v>
      </c>
      <c r="B10" s="16">
        <f>INT(B5/B7)</f>
        <v>30</v>
      </c>
    </row>
    <row r="11" spans="1:6" x14ac:dyDescent="0.3">
      <c r="A11" t="s">
        <v>79</v>
      </c>
      <c r="B11" s="16">
        <f>Carteira!D4+B10</f>
        <v>150</v>
      </c>
    </row>
    <row r="12" spans="1:6" x14ac:dyDescent="0.3">
      <c r="A12" t="s">
        <v>80</v>
      </c>
      <c r="B12" s="17">
        <f>(B11*B7)*Carteira!I4</f>
        <v>2787.75</v>
      </c>
    </row>
    <row r="15" spans="1:6" ht="18" x14ac:dyDescent="0.35">
      <c r="A15" s="29" t="s">
        <v>81</v>
      </c>
      <c r="B15" s="27"/>
      <c r="C15" s="27"/>
      <c r="D15" s="27"/>
    </row>
    <row r="16" spans="1:6" x14ac:dyDescent="0.3">
      <c r="A16" s="1" t="s">
        <v>82</v>
      </c>
      <c r="B16" s="1" t="s">
        <v>83</v>
      </c>
      <c r="C16" s="1" t="s">
        <v>84</v>
      </c>
      <c r="D16" s="1" t="s">
        <v>85</v>
      </c>
    </row>
    <row r="17" spans="1:4" x14ac:dyDescent="0.3">
      <c r="A17" s="2" t="s">
        <v>86</v>
      </c>
      <c r="B17" s="18">
        <v>0.09</v>
      </c>
      <c r="C17" s="17">
        <f>Carteira!L2*B17/12</f>
        <v>1048.71</v>
      </c>
      <c r="D17" s="17">
        <f>C17*12</f>
        <v>12584.52</v>
      </c>
    </row>
    <row r="18" spans="1:4" x14ac:dyDescent="0.3">
      <c r="A18" s="2" t="s">
        <v>87</v>
      </c>
      <c r="B18" s="18">
        <v>0.11</v>
      </c>
      <c r="C18" s="17">
        <f>Carteira!L2*B18/12</f>
        <v>1281.7566666666667</v>
      </c>
      <c r="D18" s="17">
        <f>C18*12</f>
        <v>15381.08</v>
      </c>
    </row>
    <row r="19" spans="1:4" x14ac:dyDescent="0.3">
      <c r="A19" s="2" t="s">
        <v>88</v>
      </c>
      <c r="B19" s="18">
        <v>0.14000000000000001</v>
      </c>
      <c r="C19" s="17">
        <f>Carteira!L2*B19/12</f>
        <v>1631.3266666666668</v>
      </c>
      <c r="D19" s="17">
        <f>C19*12</f>
        <v>19575.920000000002</v>
      </c>
    </row>
    <row r="22" spans="1:4" ht="18" x14ac:dyDescent="0.35">
      <c r="A22" s="29" t="s">
        <v>89</v>
      </c>
      <c r="B22" s="27"/>
      <c r="C22" s="27"/>
      <c r="D22" s="27"/>
    </row>
    <row r="24" spans="1:4" x14ac:dyDescent="0.3">
      <c r="A24" t="s">
        <v>90</v>
      </c>
      <c r="B24" s="3" t="str">
        <f ca="1">Rendimentos!G14</f>
        <v/>
      </c>
    </row>
    <row r="25" spans="1:4" x14ac:dyDescent="0.3">
      <c r="A25" t="s">
        <v>91</v>
      </c>
      <c r="B25" s="19">
        <v>0.5</v>
      </c>
    </row>
    <row r="26" spans="1:4" x14ac:dyDescent="0.3">
      <c r="A26" t="s">
        <v>92</v>
      </c>
      <c r="B26" s="17" t="str">
        <f ca="1">B24*B25</f>
        <v/>
      </c>
    </row>
    <row r="27" spans="1:4" x14ac:dyDescent="0.3">
      <c r="A27" t="s">
        <v>93</v>
      </c>
      <c r="B27" s="20" t="str">
        <f ca="1">B26*12</f>
        <v/>
      </c>
    </row>
    <row r="28" spans="1:4" x14ac:dyDescent="0.3">
      <c r="A28" t="s">
        <v>94</v>
      </c>
      <c r="B28" s="20" t="str">
        <f ca="1">B26*24</f>
        <v/>
      </c>
    </row>
  </sheetData>
  <mergeCells count="4">
    <mergeCell ref="A22:D22"/>
    <mergeCell ref="A3:C3"/>
    <mergeCell ref="A1:F1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defaultRowHeight="14.4" x14ac:dyDescent="0.3"/>
  <cols>
    <col min="1" max="1" width="25" customWidth="1"/>
    <col min="2" max="2" width="15" customWidth="1"/>
    <col min="3" max="3" width="12" customWidth="1"/>
    <col min="4" max="4" width="15" customWidth="1"/>
    <col min="5" max="5" width="12" customWidth="1"/>
    <col min="6" max="6" width="15" customWidth="1"/>
    <col min="7" max="7" width="12" customWidth="1"/>
  </cols>
  <sheetData>
    <row r="1" spans="1:7" ht="18" x14ac:dyDescent="0.35">
      <c r="A1" s="30" t="s">
        <v>95</v>
      </c>
      <c r="B1" s="27"/>
      <c r="C1" s="27"/>
      <c r="D1" s="27"/>
      <c r="E1" s="27"/>
      <c r="F1" s="27"/>
      <c r="G1" s="27"/>
    </row>
    <row r="3" spans="1:7" ht="18" x14ac:dyDescent="0.35">
      <c r="A3" s="29" t="s">
        <v>96</v>
      </c>
      <c r="B3" s="27"/>
      <c r="C3" s="27"/>
      <c r="D3" s="27"/>
      <c r="E3" s="29" t="s">
        <v>97</v>
      </c>
      <c r="F3" s="27"/>
      <c r="G3" s="27"/>
    </row>
    <row r="4" spans="1:7" x14ac:dyDescent="0.3">
      <c r="A4" s="1" t="s">
        <v>98</v>
      </c>
      <c r="B4" s="1" t="s">
        <v>26</v>
      </c>
      <c r="C4" s="1" t="s">
        <v>99</v>
      </c>
      <c r="D4" s="1" t="s">
        <v>100</v>
      </c>
      <c r="E4" s="1" t="s">
        <v>101</v>
      </c>
      <c r="F4" s="1" t="s">
        <v>102</v>
      </c>
      <c r="G4" s="1" t="s">
        <v>103</v>
      </c>
    </row>
    <row r="5" spans="1:7" x14ac:dyDescent="0.3">
      <c r="A5" t="s">
        <v>104</v>
      </c>
      <c r="B5" s="3">
        <f>Carteira!L2</f>
        <v>139828</v>
      </c>
      <c r="C5" s="3">
        <v>200000</v>
      </c>
      <c r="D5" t="str">
        <f>IF(B5&gt;=C5,"✓ Atingido","⚠ Abaixo")</f>
        <v>⚠ Abaixo</v>
      </c>
      <c r="E5" t="s">
        <v>105</v>
      </c>
      <c r="F5" s="3">
        <f>Rendimentos!G4</f>
        <v>817.9</v>
      </c>
      <c r="G5" t="s">
        <v>106</v>
      </c>
    </row>
    <row r="6" spans="1:7" x14ac:dyDescent="0.3">
      <c r="A6" t="s">
        <v>84</v>
      </c>
      <c r="B6" s="3" t="str">
        <f ca="1">Rendimentos!G14</f>
        <v/>
      </c>
      <c r="C6" s="3">
        <v>1500</v>
      </c>
      <c r="D6" t="str">
        <f ca="1">IF(B6&gt;=C6,"✓ Atingido","⚠ Abaixo")</f>
        <v/>
      </c>
      <c r="E6" t="s">
        <v>107</v>
      </c>
      <c r="F6" s="3">
        <f>Rendimentos!G5</f>
        <v>830.39999999999986</v>
      </c>
      <c r="G6" s="4">
        <f t="shared" ref="G6:G16" si="0">(F6-F5)/F5</f>
        <v>1.5283041936666936E-2</v>
      </c>
    </row>
    <row r="7" spans="1:7" x14ac:dyDescent="0.3">
      <c r="A7" t="s">
        <v>27</v>
      </c>
      <c r="B7" s="4">
        <f>'Painel de Controle'!B8</f>
        <v>3.9679087525977479E-2</v>
      </c>
      <c r="C7" s="4">
        <v>0.1</v>
      </c>
      <c r="D7" t="str">
        <f>IF(B7&gt;=C7,"✓ Atingido","⚠ Abaixo")</f>
        <v>⚠ Abaixo</v>
      </c>
      <c r="E7" t="s">
        <v>108</v>
      </c>
      <c r="F7" s="3">
        <f>Rendimentos!G6</f>
        <v>844.60000000000014</v>
      </c>
      <c r="G7" s="4">
        <f t="shared" si="0"/>
        <v>1.7100192678227693E-2</v>
      </c>
    </row>
    <row r="8" spans="1:7" x14ac:dyDescent="0.3">
      <c r="A8" t="s">
        <v>109</v>
      </c>
      <c r="B8">
        <v>12</v>
      </c>
      <c r="C8">
        <v>10</v>
      </c>
      <c r="D8" t="str">
        <f>IF(B8&gt;=C8,"✓ Atingido","⚠ Abaixo")</f>
        <v>✓ Atingido</v>
      </c>
      <c r="E8" t="s">
        <v>110</v>
      </c>
      <c r="F8" s="3">
        <f>Rendimentos!G7</f>
        <v>858.7</v>
      </c>
      <c r="G8" s="4">
        <f t="shared" si="0"/>
        <v>1.6694293156523689E-2</v>
      </c>
    </row>
    <row r="9" spans="1:7" x14ac:dyDescent="0.3">
      <c r="E9" t="s">
        <v>111</v>
      </c>
      <c r="F9" s="3">
        <f>Rendimentos!G8</f>
        <v>873.40000000000009</v>
      </c>
      <c r="G9" s="4">
        <f t="shared" si="0"/>
        <v>1.7118900663794158E-2</v>
      </c>
    </row>
    <row r="10" spans="1:7" x14ac:dyDescent="0.3">
      <c r="E10" t="s">
        <v>112</v>
      </c>
      <c r="F10" s="3">
        <f>Rendimentos!G9</f>
        <v>888.59999999999991</v>
      </c>
      <c r="G10" s="4">
        <f t="shared" si="0"/>
        <v>1.7403251660178403E-2</v>
      </c>
    </row>
    <row r="11" spans="1:7" ht="18" x14ac:dyDescent="0.35">
      <c r="A11" s="29" t="s">
        <v>113</v>
      </c>
      <c r="B11" s="27"/>
      <c r="C11" s="27"/>
      <c r="E11" t="s">
        <v>114</v>
      </c>
      <c r="F11" s="3">
        <f>Rendimentos!G10</f>
        <v>904.1</v>
      </c>
      <c r="G11" s="4">
        <f t="shared" si="0"/>
        <v>1.7443169029934858E-2</v>
      </c>
    </row>
    <row r="12" spans="1:7" x14ac:dyDescent="0.3">
      <c r="A12" s="1" t="s">
        <v>115</v>
      </c>
      <c r="B12" s="1" t="s">
        <v>116</v>
      </c>
      <c r="C12" s="1" t="s">
        <v>117</v>
      </c>
      <c r="E12" t="s">
        <v>118</v>
      </c>
      <c r="F12" s="3">
        <f>Rendimentos!G11</f>
        <v>920.2</v>
      </c>
      <c r="G12" s="4">
        <f t="shared" si="0"/>
        <v>1.7807764627806682E-2</v>
      </c>
    </row>
    <row r="13" spans="1:7" x14ac:dyDescent="0.3">
      <c r="A13" t="s">
        <v>119</v>
      </c>
      <c r="B13">
        <v>3</v>
      </c>
      <c r="C13" s="4">
        <v>0.25</v>
      </c>
      <c r="E13" t="s">
        <v>120</v>
      </c>
      <c r="F13" s="3">
        <f>Rendimentos!G12</f>
        <v>936.90000000000009</v>
      </c>
      <c r="G13" s="4">
        <f t="shared" si="0"/>
        <v>1.8148228645946583E-2</v>
      </c>
    </row>
    <row r="14" spans="1:7" x14ac:dyDescent="0.3">
      <c r="A14" t="s">
        <v>121</v>
      </c>
      <c r="B14">
        <v>6</v>
      </c>
      <c r="C14" s="4">
        <v>0.5</v>
      </c>
      <c r="E14" t="s">
        <v>122</v>
      </c>
      <c r="F14" s="3" t="str">
        <f ca="1">Rendimentos!G13</f>
        <v/>
      </c>
      <c r="G14" s="4" t="str">
        <f t="shared" ca="1" si="0"/>
        <v/>
      </c>
    </row>
    <row r="15" spans="1:7" x14ac:dyDescent="0.3">
      <c r="A15" t="s">
        <v>123</v>
      </c>
      <c r="B15">
        <v>3</v>
      </c>
      <c r="C15" s="4">
        <v>0.25</v>
      </c>
      <c r="E15" t="s">
        <v>124</v>
      </c>
      <c r="F15" s="3" t="str">
        <f ca="1">Rendimentos!G14</f>
        <v/>
      </c>
      <c r="G15" s="4" t="str">
        <f t="shared" ca="1" si="0"/>
        <v/>
      </c>
    </row>
    <row r="16" spans="1:7" x14ac:dyDescent="0.3">
      <c r="E16" t="s">
        <v>125</v>
      </c>
      <c r="F16" s="3">
        <f>Rendimentos!G15</f>
        <v>989.8</v>
      </c>
      <c r="G16" s="4" t="str">
        <f t="shared" ca="1" si="0"/>
        <v/>
      </c>
    </row>
  </sheetData>
  <mergeCells count="4">
    <mergeCell ref="A3:D3"/>
    <mergeCell ref="A11:C11"/>
    <mergeCell ref="A1:G1"/>
    <mergeCell ref="E3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/>
  </sheetViews>
  <sheetFormatPr defaultRowHeight="14.4" x14ac:dyDescent="0.3"/>
  <cols>
    <col min="1" max="1" width="90" customWidth="1"/>
  </cols>
  <sheetData>
    <row r="1" spans="1:5" ht="21" x14ac:dyDescent="0.4">
      <c r="A1" s="28" t="s">
        <v>126</v>
      </c>
      <c r="B1" s="27"/>
      <c r="C1" s="27"/>
      <c r="D1" s="27"/>
      <c r="E1" s="27"/>
    </row>
    <row r="3" spans="1:5" ht="15.6" x14ac:dyDescent="0.3">
      <c r="A3" s="21" t="s">
        <v>127</v>
      </c>
    </row>
    <row r="5" spans="1:5" x14ac:dyDescent="0.3">
      <c r="A5" t="s">
        <v>128</v>
      </c>
    </row>
    <row r="6" spans="1:5" x14ac:dyDescent="0.3">
      <c r="A6" t="s">
        <v>129</v>
      </c>
    </row>
    <row r="8" spans="1:5" x14ac:dyDescent="0.3">
      <c r="A8" s="22" t="s">
        <v>130</v>
      </c>
    </row>
    <row r="10" spans="1:5" x14ac:dyDescent="0.3">
      <c r="A10" s="23" t="s">
        <v>131</v>
      </c>
    </row>
    <row r="11" spans="1:5" x14ac:dyDescent="0.3">
      <c r="A11" t="s">
        <v>132</v>
      </c>
    </row>
    <row r="12" spans="1:5" x14ac:dyDescent="0.3">
      <c r="A12" t="s">
        <v>133</v>
      </c>
    </row>
    <row r="13" spans="1:5" x14ac:dyDescent="0.3">
      <c r="A13" t="s">
        <v>134</v>
      </c>
    </row>
    <row r="15" spans="1:5" x14ac:dyDescent="0.3">
      <c r="A15" s="23" t="s">
        <v>135</v>
      </c>
    </row>
    <row r="16" spans="1:5" x14ac:dyDescent="0.3">
      <c r="A16" t="s">
        <v>136</v>
      </c>
    </row>
    <row r="17" spans="1:1" x14ac:dyDescent="0.3">
      <c r="A17" t="s">
        <v>137</v>
      </c>
    </row>
    <row r="18" spans="1:1" x14ac:dyDescent="0.3">
      <c r="A18" t="s">
        <v>138</v>
      </c>
    </row>
    <row r="19" spans="1:1" x14ac:dyDescent="0.3">
      <c r="A19" t="s">
        <v>139</v>
      </c>
    </row>
    <row r="21" spans="1:1" x14ac:dyDescent="0.3">
      <c r="A21" s="23" t="s">
        <v>140</v>
      </c>
    </row>
    <row r="22" spans="1:1" x14ac:dyDescent="0.3">
      <c r="A22" t="s">
        <v>141</v>
      </c>
    </row>
    <row r="23" spans="1:1" x14ac:dyDescent="0.3">
      <c r="A23" t="s">
        <v>142</v>
      </c>
    </row>
    <row r="24" spans="1:1" x14ac:dyDescent="0.3">
      <c r="A24" t="s">
        <v>143</v>
      </c>
    </row>
    <row r="26" spans="1:1" x14ac:dyDescent="0.3">
      <c r="A26" s="23" t="s">
        <v>144</v>
      </c>
    </row>
    <row r="27" spans="1:1" x14ac:dyDescent="0.3">
      <c r="A27" t="s">
        <v>145</v>
      </c>
    </row>
    <row r="28" spans="1:1" x14ac:dyDescent="0.3">
      <c r="A28" t="s">
        <v>146</v>
      </c>
    </row>
    <row r="29" spans="1:1" x14ac:dyDescent="0.3">
      <c r="A29" t="s">
        <v>147</v>
      </c>
    </row>
    <row r="30" spans="1:1" x14ac:dyDescent="0.3">
      <c r="A30" t="s">
        <v>148</v>
      </c>
    </row>
    <row r="32" spans="1:1" x14ac:dyDescent="0.3">
      <c r="A32" s="23" t="s">
        <v>149</v>
      </c>
    </row>
    <row r="33" spans="1:1" x14ac:dyDescent="0.3">
      <c r="A33" t="s">
        <v>150</v>
      </c>
    </row>
    <row r="34" spans="1:1" x14ac:dyDescent="0.3">
      <c r="A34" t="s">
        <v>151</v>
      </c>
    </row>
    <row r="35" spans="1:1" x14ac:dyDescent="0.3">
      <c r="A35" t="s">
        <v>152</v>
      </c>
    </row>
    <row r="36" spans="1:1" x14ac:dyDescent="0.3">
      <c r="A36" t="s">
        <v>153</v>
      </c>
    </row>
    <row r="38" spans="1:1" x14ac:dyDescent="0.3">
      <c r="A38" s="22" t="s">
        <v>154</v>
      </c>
    </row>
    <row r="40" spans="1:1" x14ac:dyDescent="0.3">
      <c r="A40" s="24" t="s">
        <v>155</v>
      </c>
    </row>
    <row r="41" spans="1:1" x14ac:dyDescent="0.3">
      <c r="A41" s="24" t="s">
        <v>156</v>
      </c>
    </row>
    <row r="42" spans="1:1" x14ac:dyDescent="0.3">
      <c r="A42" s="24" t="s">
        <v>157</v>
      </c>
    </row>
    <row r="43" spans="1:1" x14ac:dyDescent="0.3">
      <c r="A43" s="24" t="s">
        <v>158</v>
      </c>
    </row>
    <row r="44" spans="1:1" x14ac:dyDescent="0.3">
      <c r="A44" s="24" t="s">
        <v>159</v>
      </c>
    </row>
    <row r="46" spans="1:1" x14ac:dyDescent="0.3">
      <c r="A46" s="22" t="s">
        <v>160</v>
      </c>
    </row>
    <row r="48" spans="1:1" x14ac:dyDescent="0.3">
      <c r="A48" s="24" t="s">
        <v>161</v>
      </c>
    </row>
    <row r="49" spans="1:1" x14ac:dyDescent="0.3">
      <c r="A49" s="24" t="s">
        <v>162</v>
      </c>
    </row>
    <row r="50" spans="1:1" x14ac:dyDescent="0.3">
      <c r="A50" s="24" t="s">
        <v>163</v>
      </c>
    </row>
    <row r="52" spans="1:1" x14ac:dyDescent="0.3">
      <c r="A52" s="22" t="s">
        <v>164</v>
      </c>
    </row>
    <row r="54" spans="1:1" x14ac:dyDescent="0.3">
      <c r="A54" s="24" t="s">
        <v>165</v>
      </c>
    </row>
    <row r="55" spans="1:1" x14ac:dyDescent="0.3">
      <c r="A55" s="24" t="s">
        <v>166</v>
      </c>
    </row>
    <row r="56" spans="1:1" x14ac:dyDescent="0.3">
      <c r="A56" s="24" t="s">
        <v>167</v>
      </c>
    </row>
    <row r="57" spans="1:1" x14ac:dyDescent="0.3">
      <c r="A57" s="24" t="s">
        <v>168</v>
      </c>
    </row>
    <row r="60" spans="1:1" x14ac:dyDescent="0.3">
      <c r="A60" s="25" t="s">
        <v>169</v>
      </c>
    </row>
    <row r="61" spans="1:1" x14ac:dyDescent="0.3">
      <c r="A61" s="25" t="s">
        <v>170</v>
      </c>
    </row>
    <row r="62" spans="1:1" x14ac:dyDescent="0.3">
      <c r="A62" s="25" t="s">
        <v>171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Painel de Controle</vt:lpstr>
      <vt:lpstr>Carteira</vt:lpstr>
      <vt:lpstr>Rendimentos</vt:lpstr>
      <vt:lpstr>Simulações</vt:lpstr>
      <vt:lpstr>Dashboard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Vasconcellos</dc:creator>
  <cp:lastModifiedBy>Marcus Augusto da Silva Vasconcellos</cp:lastModifiedBy>
  <dcterms:created xsi:type="dcterms:W3CDTF">2026-01-07T14:01:02Z</dcterms:created>
  <dcterms:modified xsi:type="dcterms:W3CDTF">2026-01-07T13:54:38Z</dcterms:modified>
</cp:coreProperties>
</file>